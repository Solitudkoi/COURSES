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066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<sst xmlns="http://schemas.openxmlformats.org/spreadsheetml/2006/main" count="31" uniqueCount="15">
  <si>
    <t>次数</t>
  </si>
  <si>
    <t>V1(cm/s)</t>
  </si>
  <si>
    <t>v2(cm/s)</t>
  </si>
  <si>
    <t>v(cm/s)</t>
  </si>
  <si>
    <r>
      <t>a(cm/s</t>
    </r>
    <r>
      <rPr>
        <sz val="11"/>
        <color theme="1"/>
        <rFont val="宋体"/>
        <charset val="134"/>
      </rPr>
      <t>²</t>
    </r>
    <r>
      <rPr>
        <sz val="11"/>
        <color theme="1"/>
        <rFont val="宋体"/>
        <charset val="134"/>
        <scheme val="minor"/>
      </rPr>
      <t>)</t>
    </r>
  </si>
  <si>
    <t>f(10-5N)</t>
  </si>
  <si>
    <t>m</t>
  </si>
  <si>
    <t>完全弹性碰撞</t>
  </si>
  <si>
    <t>完全非弹性碰撞</t>
  </si>
  <si>
    <r>
      <t xml:space="preserve">=306.8g </t>
    </r>
    <r>
      <rPr>
        <sz val="11"/>
        <color rgb="FF000000"/>
        <rFont val="Calibri"/>
        <charset val="134"/>
      </rPr>
      <t xml:space="preserve">    </t>
    </r>
  </si>
  <si>
    <t>=258.8g</t>
  </si>
  <si>
    <t>(cm/s)</t>
  </si>
  <si>
    <t>(N/kg)</t>
  </si>
  <si>
    <t>(J)</t>
  </si>
  <si>
    <t>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</si>
</sst>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7" applyNumberFormat="0" applyAlignment="0" applyProtection="0">
      <alignment vertical="center"/>
    </xf>
    <xf numFmtId="0" fontId="12" fillId="4" borderId="18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5" borderId="19" applyNumberFormat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5.jpeg"/><Relationship Id="rId8" Type="http://schemas.openxmlformats.org/officeDocument/2006/relationships/image" Target="file:///C:\Users\21138\AppData\Local\Temp\ksohtml33296\wps4.jpg" TargetMode="External"/><Relationship Id="rId7" Type="http://schemas.openxmlformats.org/officeDocument/2006/relationships/image" Target="../media/image4.jpeg"/><Relationship Id="rId6" Type="http://schemas.openxmlformats.org/officeDocument/2006/relationships/image" Target="file:///C:\Users\21138\AppData\Local\Temp\ksohtml33296\wps3.jpg" TargetMode="External"/><Relationship Id="rId5" Type="http://schemas.openxmlformats.org/officeDocument/2006/relationships/image" Target="../media/image3.jpeg"/><Relationship Id="rId4" Type="http://schemas.openxmlformats.org/officeDocument/2006/relationships/image" Target="file:///C:\Users\21138\AppData\Local\Temp\ksohtml33296\wps2.jpg" TargetMode="External"/><Relationship Id="rId3" Type="http://schemas.openxmlformats.org/officeDocument/2006/relationships/image" Target="../media/image2.jpeg"/><Relationship Id="rId28" Type="http://schemas.openxmlformats.org/officeDocument/2006/relationships/image" Target="file:///C:\Users\21138\AppData\Local\Temp\ksohtml33296\wps14.jpg" TargetMode="External"/><Relationship Id="rId27" Type="http://schemas.openxmlformats.org/officeDocument/2006/relationships/image" Target="../media/image14.jpeg"/><Relationship Id="rId26" Type="http://schemas.openxmlformats.org/officeDocument/2006/relationships/image" Target="file:///C:\Users\21138\AppData\Local\Temp\ksohtml33296\wps13.jpg" TargetMode="External"/><Relationship Id="rId25" Type="http://schemas.openxmlformats.org/officeDocument/2006/relationships/image" Target="../media/image13.jpeg"/><Relationship Id="rId24" Type="http://schemas.openxmlformats.org/officeDocument/2006/relationships/image" Target="file:///C:\Users\21138\AppData\Local\Temp\ksohtml33296\wps12.jpg" TargetMode="External"/><Relationship Id="rId23" Type="http://schemas.openxmlformats.org/officeDocument/2006/relationships/image" Target="../media/image12.jpeg"/><Relationship Id="rId22" Type="http://schemas.openxmlformats.org/officeDocument/2006/relationships/image" Target="file:///C:\Users\21138\AppData\Local\Temp\ksohtml33296\wps11.jpg" TargetMode="External"/><Relationship Id="rId21" Type="http://schemas.openxmlformats.org/officeDocument/2006/relationships/image" Target="../media/image11.jpeg"/><Relationship Id="rId20" Type="http://schemas.openxmlformats.org/officeDocument/2006/relationships/image" Target="file:///C:\Users\21138\AppData\Local\Temp\ksohtml33296\wps10.jpg" TargetMode="External"/><Relationship Id="rId2" Type="http://schemas.openxmlformats.org/officeDocument/2006/relationships/image" Target="file:///C:\Users\21138\AppData\Local\Temp\ksohtml33296\wps1.jpg" TargetMode="External"/><Relationship Id="rId19" Type="http://schemas.openxmlformats.org/officeDocument/2006/relationships/image" Target="../media/image10.jpeg"/><Relationship Id="rId18" Type="http://schemas.openxmlformats.org/officeDocument/2006/relationships/image" Target="file:///C:\Users\21138\AppData\Local\Temp\ksohtml33296\wps9.jpg" TargetMode="External"/><Relationship Id="rId17" Type="http://schemas.openxmlformats.org/officeDocument/2006/relationships/image" Target="../media/image9.jpeg"/><Relationship Id="rId16" Type="http://schemas.openxmlformats.org/officeDocument/2006/relationships/image" Target="file:///C:\Users\21138\AppData\Local\Temp\ksohtml33296\wps8.jpg" TargetMode="External"/><Relationship Id="rId15" Type="http://schemas.openxmlformats.org/officeDocument/2006/relationships/image" Target="../media/image8.jpeg"/><Relationship Id="rId14" Type="http://schemas.openxmlformats.org/officeDocument/2006/relationships/image" Target="file:///C:\Users\21138\AppData\Local\Temp\ksohtml33296\wps7.jpg" TargetMode="External"/><Relationship Id="rId13" Type="http://schemas.openxmlformats.org/officeDocument/2006/relationships/image" Target="../media/image7.jpeg"/><Relationship Id="rId12" Type="http://schemas.openxmlformats.org/officeDocument/2006/relationships/image" Target="file:///C:\Users\21138\AppData\Local\Temp\ksohtml33296\wps6.jpg" TargetMode="External"/><Relationship Id="rId11" Type="http://schemas.openxmlformats.org/officeDocument/2006/relationships/image" Target="../media/image6.jpeg"/><Relationship Id="rId10" Type="http://schemas.openxmlformats.org/officeDocument/2006/relationships/image" Target="file:///C:\Users\21138\AppData\Local\Temp\ksohtml33296\wps5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572135</xdr:colOff>
      <xdr:row>52</xdr:row>
      <xdr:rowOff>9525</xdr:rowOff>
    </xdr:from>
    <xdr:to>
      <xdr:col>7</xdr:col>
      <xdr:colOff>709295</xdr:colOff>
      <xdr:row>52</xdr:row>
      <xdr:rowOff>131445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083175" y="9528810"/>
          <a:ext cx="137160" cy="121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556895</xdr:colOff>
      <xdr:row>53</xdr:row>
      <xdr:rowOff>0</xdr:rowOff>
    </xdr:from>
    <xdr:to>
      <xdr:col>7</xdr:col>
      <xdr:colOff>694055</xdr:colOff>
      <xdr:row>53</xdr:row>
      <xdr:rowOff>121920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5067935" y="9702165"/>
          <a:ext cx="137160" cy="121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152400</xdr:colOff>
      <xdr:row>54</xdr:row>
      <xdr:rowOff>121920</xdr:rowOff>
    </xdr:to>
    <xdr:pic>
      <xdr:nvPicPr>
        <xdr:cNvPr id="6" name="图片 5"/>
        <xdr:cNvPicPr>
          <a:picLocks noChangeAspect="1"/>
        </xdr:cNvPicPr>
      </xdr:nvPicPr>
      <xdr:blipFill>
        <a:blip r:embed="rId5" r:link="rId6"/>
        <a:stretch>
          <a:fillRect/>
        </a:stretch>
      </xdr:blipFill>
      <xdr:spPr>
        <a:xfrm>
          <a:off x="609600" y="9894570"/>
          <a:ext cx="152400" cy="121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152400</xdr:colOff>
      <xdr:row>54</xdr:row>
      <xdr:rowOff>121920</xdr:rowOff>
    </xdr:to>
    <xdr:pic>
      <xdr:nvPicPr>
        <xdr:cNvPr id="7" name="图片 6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219200" y="9894570"/>
          <a:ext cx="152400" cy="121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152400</xdr:colOff>
      <xdr:row>54</xdr:row>
      <xdr:rowOff>121920</xdr:rowOff>
    </xdr:to>
    <xdr:pic>
      <xdr:nvPicPr>
        <xdr:cNvPr id="8" name="图片 7"/>
        <xdr:cNvPicPr>
          <a:picLocks noChangeAspect="1"/>
        </xdr:cNvPicPr>
      </xdr:nvPicPr>
      <xdr:blipFill>
        <a:blip r:embed="rId9" r:link="rId10"/>
        <a:stretch>
          <a:fillRect/>
        </a:stretch>
      </xdr:blipFill>
      <xdr:spPr>
        <a:xfrm>
          <a:off x="1828800" y="9894570"/>
          <a:ext cx="152400" cy="121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152400</xdr:colOff>
      <xdr:row>54</xdr:row>
      <xdr:rowOff>121920</xdr:rowOff>
    </xdr:to>
    <xdr:pic>
      <xdr:nvPicPr>
        <xdr:cNvPr id="9" name="图片 8"/>
        <xdr:cNvPicPr>
          <a:picLocks noChangeAspect="1"/>
        </xdr:cNvPicPr>
      </xdr:nvPicPr>
      <xdr:blipFill>
        <a:blip r:embed="rId11" r:link="rId12"/>
        <a:stretch>
          <a:fillRect/>
        </a:stretch>
      </xdr:blipFill>
      <xdr:spPr>
        <a:xfrm>
          <a:off x="2438400" y="9894570"/>
          <a:ext cx="152400" cy="121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114300</xdr:colOff>
      <xdr:row>54</xdr:row>
      <xdr:rowOff>121920</xdr:rowOff>
    </xdr:to>
    <xdr:pic>
      <xdr:nvPicPr>
        <xdr:cNvPr id="10" name="图片 9"/>
        <xdr:cNvPicPr>
          <a:picLocks noChangeAspect="1"/>
        </xdr:cNvPicPr>
      </xdr:nvPicPr>
      <xdr:blipFill>
        <a:blip r:embed="rId13" r:link="rId14"/>
        <a:stretch>
          <a:fillRect/>
        </a:stretch>
      </xdr:blipFill>
      <xdr:spPr>
        <a:xfrm>
          <a:off x="3048000" y="9894570"/>
          <a:ext cx="114300" cy="121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54</xdr:row>
      <xdr:rowOff>0</xdr:rowOff>
    </xdr:from>
    <xdr:to>
      <xdr:col>6</xdr:col>
      <xdr:colOff>114300</xdr:colOff>
      <xdr:row>54</xdr:row>
      <xdr:rowOff>121920</xdr:rowOff>
    </xdr:to>
    <xdr:pic>
      <xdr:nvPicPr>
        <xdr:cNvPr id="11" name="图片 10"/>
        <xdr:cNvPicPr>
          <a:picLocks noChangeAspect="1"/>
        </xdr:cNvPicPr>
      </xdr:nvPicPr>
      <xdr:blipFill>
        <a:blip r:embed="rId15" r:link="rId16"/>
        <a:stretch>
          <a:fillRect/>
        </a:stretch>
      </xdr:blipFill>
      <xdr:spPr>
        <a:xfrm>
          <a:off x="3779520" y="9894570"/>
          <a:ext cx="114300" cy="121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175260</xdr:colOff>
      <xdr:row>54</xdr:row>
      <xdr:rowOff>0</xdr:rowOff>
    </xdr:from>
    <xdr:to>
      <xdr:col>7</xdr:col>
      <xdr:colOff>289560</xdr:colOff>
      <xdr:row>54</xdr:row>
      <xdr:rowOff>121920</xdr:rowOff>
    </xdr:to>
    <xdr:pic>
      <xdr:nvPicPr>
        <xdr:cNvPr id="12" name="图片 11"/>
        <xdr:cNvPicPr>
          <a:picLocks noChangeAspect="1"/>
        </xdr:cNvPicPr>
      </xdr:nvPicPr>
      <xdr:blipFill>
        <a:blip r:embed="rId17" r:link="rId18"/>
        <a:stretch>
          <a:fillRect/>
        </a:stretch>
      </xdr:blipFill>
      <xdr:spPr>
        <a:xfrm>
          <a:off x="4686300" y="9894570"/>
          <a:ext cx="114300" cy="121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114300</xdr:colOff>
      <xdr:row>54</xdr:row>
      <xdr:rowOff>121920</xdr:rowOff>
    </xdr:to>
    <xdr:pic>
      <xdr:nvPicPr>
        <xdr:cNvPr id="13" name="图片 12"/>
        <xdr:cNvPicPr>
          <a:picLocks noChangeAspect="1"/>
        </xdr:cNvPicPr>
      </xdr:nvPicPr>
      <xdr:blipFill>
        <a:blip r:embed="rId19" r:link="rId20"/>
        <a:stretch>
          <a:fillRect/>
        </a:stretch>
      </xdr:blipFill>
      <xdr:spPr>
        <a:xfrm>
          <a:off x="5394960" y="9894570"/>
          <a:ext cx="114300" cy="121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9</xdr:col>
      <xdr:colOff>129540</xdr:colOff>
      <xdr:row>54</xdr:row>
      <xdr:rowOff>121920</xdr:rowOff>
    </xdr:to>
    <xdr:pic>
      <xdr:nvPicPr>
        <xdr:cNvPr id="14" name="图片 13"/>
        <xdr:cNvPicPr>
          <a:picLocks noChangeAspect="1"/>
        </xdr:cNvPicPr>
      </xdr:nvPicPr>
      <xdr:blipFill>
        <a:blip r:embed="rId21" r:link="rId22"/>
        <a:stretch>
          <a:fillRect/>
        </a:stretch>
      </xdr:blipFill>
      <xdr:spPr>
        <a:xfrm>
          <a:off x="6278880" y="9894570"/>
          <a:ext cx="129540" cy="121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10</xdr:col>
      <xdr:colOff>129540</xdr:colOff>
      <xdr:row>54</xdr:row>
      <xdr:rowOff>121920</xdr:rowOff>
    </xdr:to>
    <xdr:pic>
      <xdr:nvPicPr>
        <xdr:cNvPr id="15" name="图片 14"/>
        <xdr:cNvPicPr>
          <a:picLocks noChangeAspect="1"/>
        </xdr:cNvPicPr>
      </xdr:nvPicPr>
      <xdr:blipFill>
        <a:blip r:embed="rId23" r:link="rId24"/>
        <a:stretch>
          <a:fillRect/>
        </a:stretch>
      </xdr:blipFill>
      <xdr:spPr>
        <a:xfrm>
          <a:off x="7086600" y="9894570"/>
          <a:ext cx="129540" cy="121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129540</xdr:colOff>
      <xdr:row>55</xdr:row>
      <xdr:rowOff>74295</xdr:rowOff>
    </xdr:to>
    <xdr:pic>
      <xdr:nvPicPr>
        <xdr:cNvPr id="16" name="图片 15"/>
        <xdr:cNvPicPr>
          <a:picLocks noChangeAspect="1"/>
        </xdr:cNvPicPr>
      </xdr:nvPicPr>
      <xdr:blipFill>
        <a:blip r:embed="rId25" r:link="rId26"/>
        <a:stretch>
          <a:fillRect/>
        </a:stretch>
      </xdr:blipFill>
      <xdr:spPr>
        <a:xfrm>
          <a:off x="8054340" y="9894570"/>
          <a:ext cx="12954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129540</xdr:colOff>
      <xdr:row>55</xdr:row>
      <xdr:rowOff>74295</xdr:rowOff>
    </xdr:to>
    <xdr:pic>
      <xdr:nvPicPr>
        <xdr:cNvPr id="17" name="图片 16"/>
        <xdr:cNvPicPr>
          <a:picLocks noChangeAspect="1"/>
        </xdr:cNvPicPr>
      </xdr:nvPicPr>
      <xdr:blipFill>
        <a:blip r:embed="rId27" r:link="rId28"/>
        <a:stretch>
          <a:fillRect/>
        </a:stretch>
      </xdr:blipFill>
      <xdr:spPr>
        <a:xfrm>
          <a:off x="9022080" y="9894570"/>
          <a:ext cx="129540" cy="266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69"/>
  <sheetViews>
    <sheetView tabSelected="1" topLeftCell="A49" workbookViewId="0">
      <selection activeCell="L71" sqref="L71"/>
    </sheetView>
  </sheetViews>
  <sheetFormatPr defaultColWidth="8.88888888888889" defaultRowHeight="14.4"/>
  <cols>
    <col min="6" max="7" width="10.6666666666667"/>
    <col min="8" max="9" width="12.8888888888889"/>
    <col min="10" max="10" width="11.7777777777778"/>
    <col min="11" max="13" width="14.1111111111111"/>
    <col min="14" max="14" width="12.8888888888889"/>
  </cols>
  <sheetData>
    <row r="1" customHeight="1"/>
    <row r="2" customHeight="1"/>
    <row r="4" customHeight="1" spans="9:14">
      <c r="I4" s="1" t="s">
        <v>0</v>
      </c>
      <c r="J4" s="1" t="s">
        <v>1</v>
      </c>
      <c r="K4" s="1" t="s">
        <v>2</v>
      </c>
      <c r="L4" t="s">
        <v>3</v>
      </c>
      <c r="M4" s="13" t="s">
        <v>4</v>
      </c>
      <c r="N4" t="s">
        <v>5</v>
      </c>
    </row>
    <row r="5" spans="9:14">
      <c r="I5" s="1">
        <v>1</v>
      </c>
      <c r="J5" s="1">
        <v>37.93</v>
      </c>
      <c r="K5" s="1">
        <v>37.63</v>
      </c>
      <c r="L5">
        <f>($J5+$K5)/2</f>
        <v>37.78</v>
      </c>
      <c r="M5" s="1">
        <v>-0.22</v>
      </c>
      <c r="N5">
        <v>67.496</v>
      </c>
    </row>
    <row r="6" spans="9:14">
      <c r="I6" s="1">
        <v>2</v>
      </c>
      <c r="J6" s="1">
        <v>49.34</v>
      </c>
      <c r="K6" s="1">
        <v>49.08</v>
      </c>
      <c r="L6">
        <f>($J6+$K6)/2</f>
        <v>49.21</v>
      </c>
      <c r="M6" s="1">
        <v>-0.32</v>
      </c>
      <c r="N6">
        <v>98.176</v>
      </c>
    </row>
    <row r="7" spans="9:14">
      <c r="I7" s="1">
        <v>3</v>
      </c>
      <c r="J7" s="1">
        <v>67.34</v>
      </c>
      <c r="K7" s="1">
        <v>66.83</v>
      </c>
      <c r="L7">
        <f>($J7+$K7)/2</f>
        <v>67.085</v>
      </c>
      <c r="M7" s="1">
        <v>-0.66</v>
      </c>
      <c r="N7">
        <v>202.488</v>
      </c>
    </row>
    <row r="8" spans="9:14">
      <c r="I8" s="1">
        <v>4</v>
      </c>
      <c r="J8" s="1">
        <v>77.42</v>
      </c>
      <c r="K8" s="1">
        <v>77.06</v>
      </c>
      <c r="L8">
        <f>($J8+$K8)/2</f>
        <v>77.24</v>
      </c>
      <c r="M8" s="1">
        <v>-0.53</v>
      </c>
      <c r="N8">
        <v>162.604</v>
      </c>
    </row>
    <row r="9" spans="9:14">
      <c r="I9" s="1">
        <v>5</v>
      </c>
      <c r="J9" s="1">
        <v>93.25</v>
      </c>
      <c r="K9" s="1">
        <v>92.82</v>
      </c>
      <c r="L9">
        <f>($J9+$K9)/2</f>
        <v>93.035</v>
      </c>
      <c r="M9" s="1">
        <v>-0.77</v>
      </c>
      <c r="N9">
        <v>236.236</v>
      </c>
    </row>
    <row r="10" spans="9:14">
      <c r="I10" s="1">
        <v>6</v>
      </c>
      <c r="J10" s="1">
        <v>101.73</v>
      </c>
      <c r="K10" s="1">
        <v>101.35</v>
      </c>
      <c r="L10">
        <f>($J10+$K10)/2</f>
        <v>101.54</v>
      </c>
      <c r="M10" s="1">
        <v>-0.74</v>
      </c>
      <c r="N10">
        <v>227.032</v>
      </c>
    </row>
    <row r="11" customHeight="1"/>
    <row r="14" spans="12:13">
      <c r="L14" t="s">
        <v>3</v>
      </c>
      <c r="M14" t="s">
        <v>5</v>
      </c>
    </row>
    <row r="15" spans="12:13">
      <c r="L15">
        <v>37.78</v>
      </c>
      <c r="M15">
        <v>67.496</v>
      </c>
    </row>
    <row r="16" spans="12:13">
      <c r="L16">
        <v>49.21</v>
      </c>
      <c r="M16">
        <v>98.176</v>
      </c>
    </row>
    <row r="17" spans="12:13">
      <c r="L17">
        <v>67.09</v>
      </c>
      <c r="M17">
        <v>202.488</v>
      </c>
    </row>
    <row r="18" spans="12:13">
      <c r="L18">
        <v>77.24</v>
      </c>
      <c r="M18">
        <v>162.604</v>
      </c>
    </row>
    <row r="19" spans="12:13">
      <c r="L19">
        <v>93.04</v>
      </c>
      <c r="M19">
        <v>236.236</v>
      </c>
    </row>
    <row r="20" spans="12:13">
      <c r="L20">
        <v>101.54</v>
      </c>
      <c r="M20">
        <v>227.032</v>
      </c>
    </row>
    <row r="25" spans="5:5">
      <c r="E25" t="s">
        <v>0</v>
      </c>
    </row>
    <row r="32" spans="1:14">
      <c r="A32" s="1" t="s">
        <v>6</v>
      </c>
      <c r="B32" s="1"/>
      <c r="C32" s="1"/>
      <c r="D32" s="1"/>
      <c r="E32" s="1"/>
      <c r="F32" s="1"/>
      <c r="G32" s="1"/>
      <c r="H32" s="1" t="s">
        <v>6</v>
      </c>
      <c r="I32" s="1"/>
      <c r="J32" s="1"/>
      <c r="K32" s="1"/>
      <c r="L32" s="1"/>
      <c r="M32" s="1"/>
      <c r="N32" s="1"/>
    </row>
    <row r="33" spans="1:14">
      <c r="A33" s="1" t="s">
        <v>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 t="s">
        <v>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>
        <v>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>
        <v>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>
        <v>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>
        <v>4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>
        <v>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>
        <v>6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 t="s">
        <v>8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 t="s">
        <v>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>
        <v>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>
        <v>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>
        <v>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>
        <v>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>
        <v>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>
        <v>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52" ht="15.15"/>
    <row r="53" spans="1:14">
      <c r="A53" s="2" t="s">
        <v>9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14"/>
    </row>
    <row r="54" ht="15.15" spans="1:14">
      <c r="A54" s="4" t="s">
        <v>10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15"/>
    </row>
    <row r="55" ht="15.15" spans="1:14">
      <c r="A55" s="6" t="s">
        <v>0</v>
      </c>
      <c r="B55" s="7" t="s">
        <v>11</v>
      </c>
      <c r="C55" s="7" t="s">
        <v>11</v>
      </c>
      <c r="D55" s="7" t="s">
        <v>11</v>
      </c>
      <c r="E55" s="7" t="s">
        <v>11</v>
      </c>
      <c r="F55" s="7" t="s">
        <v>12</v>
      </c>
      <c r="G55" s="7" t="s">
        <v>12</v>
      </c>
      <c r="H55" s="7" t="s">
        <v>13</v>
      </c>
      <c r="I55" s="7" t="s">
        <v>13</v>
      </c>
      <c r="J55" s="7" t="s">
        <v>12</v>
      </c>
      <c r="K55" s="7" t="s">
        <v>13</v>
      </c>
      <c r="L55" s="7"/>
      <c r="M55" s="7"/>
      <c r="N55" s="7" t="s">
        <v>14</v>
      </c>
    </row>
    <row r="56" ht="15.15" spans="1:14">
      <c r="A56" s="6" t="s">
        <v>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ht="15.15" spans="1:14">
      <c r="A57" s="6">
        <v>1</v>
      </c>
      <c r="B57" s="7">
        <v>51.53</v>
      </c>
      <c r="C57" s="7">
        <v>0</v>
      </c>
      <c r="D57" s="7">
        <v>4.21</v>
      </c>
      <c r="E57" s="7">
        <v>47.75</v>
      </c>
      <c r="F57" s="7">
        <v>0.158094</v>
      </c>
      <c r="G57" s="7">
        <v>0.1364933</v>
      </c>
      <c r="H57" s="7">
        <f>0.5*0.0000001*(306.8*B57*B57+258.8*C57*C57)</f>
        <v>0.040732929406</v>
      </c>
      <c r="I57" s="7">
        <f>0.5*0.0000001*(306.8*D57*D57+258.8*E57*E57)</f>
        <v>0.029775896444</v>
      </c>
      <c r="J57" s="7">
        <f>G57-F57</f>
        <v>-0.0216007</v>
      </c>
      <c r="K57" s="7">
        <f>I57-H57</f>
        <v>-0.010957032962</v>
      </c>
      <c r="L57" s="7">
        <f>J57/F57</f>
        <v>-0.136632003744608</v>
      </c>
      <c r="M57" s="7">
        <f>K57/H57</f>
        <v>-0.268996930046137</v>
      </c>
      <c r="N57" s="7">
        <f>(E57-D57)/(B57-C57)</f>
        <v>0.844944692412187</v>
      </c>
    </row>
    <row r="58" ht="15.15" spans="1:14">
      <c r="A58" s="6">
        <v>2</v>
      </c>
      <c r="B58" s="6">
        <v>53.28</v>
      </c>
      <c r="C58" s="6">
        <v>0</v>
      </c>
      <c r="D58" s="6">
        <v>4.88</v>
      </c>
      <c r="E58" s="6">
        <v>49.56</v>
      </c>
      <c r="F58" s="6">
        <v>0.163463</v>
      </c>
      <c r="G58" s="6">
        <v>0.1432331</v>
      </c>
      <c r="H58" s="7">
        <f>0.5*0.0000001*(306.8*B58*B58+258.8*C58*C58)</f>
        <v>0.043546553856</v>
      </c>
      <c r="I58" s="7">
        <f t="shared" ref="I58:I69" si="0">0.5*0.0000001*(306.8*D58*D58+258.8*E58*E58)</f>
        <v>0.03214845808</v>
      </c>
      <c r="J58" s="7">
        <f t="shared" ref="J58:J69" si="1">G58-F58</f>
        <v>-0.0202299</v>
      </c>
      <c r="K58" s="7">
        <f t="shared" ref="K58:K69" si="2">I58-H58</f>
        <v>-0.011398095776</v>
      </c>
      <c r="L58" s="7">
        <f t="shared" ref="L58:L69" si="3">J58/F58</f>
        <v>-0.123758281690658</v>
      </c>
      <c r="M58" s="7">
        <f t="shared" ref="M58:M69" si="4">K58/H58</f>
        <v>-0.261745069740565</v>
      </c>
      <c r="N58" s="7">
        <f t="shared" ref="N58:N69" si="5">(E58-D58)/(B58-C58)</f>
        <v>0.838588588588589</v>
      </c>
    </row>
    <row r="59" ht="15.15" spans="1:14">
      <c r="A59" s="6">
        <v>3</v>
      </c>
      <c r="B59" s="6">
        <v>55.83</v>
      </c>
      <c r="C59" s="6">
        <v>0</v>
      </c>
      <c r="D59" s="6">
        <v>4.24</v>
      </c>
      <c r="E59" s="6">
        <v>51.89</v>
      </c>
      <c r="F59" s="6">
        <v>0.1712864</v>
      </c>
      <c r="G59" s="6">
        <v>0.1472996</v>
      </c>
      <c r="H59" s="7">
        <f>0.5*0.0000001*(306.8*B59*B59+258.8*C59*C59)</f>
        <v>0.047814609726</v>
      </c>
      <c r="I59" s="7">
        <f t="shared" si="0"/>
        <v>0.035117659358</v>
      </c>
      <c r="J59" s="7">
        <f t="shared" si="1"/>
        <v>-0.0239868</v>
      </c>
      <c r="K59" s="7">
        <f t="shared" si="2"/>
        <v>-0.012696950368</v>
      </c>
      <c r="L59" s="7">
        <f t="shared" si="3"/>
        <v>-0.140039139126049</v>
      </c>
      <c r="M59" s="7">
        <f t="shared" si="4"/>
        <v>-0.265545414691439</v>
      </c>
      <c r="N59" s="7">
        <f t="shared" si="5"/>
        <v>0.85348379007702</v>
      </c>
    </row>
    <row r="60" ht="15.15" spans="1:14">
      <c r="A60" s="6">
        <v>4</v>
      </c>
      <c r="B60" s="6">
        <v>58.63</v>
      </c>
      <c r="C60" s="6">
        <v>0</v>
      </c>
      <c r="D60" s="6">
        <v>3.13</v>
      </c>
      <c r="E60" s="6">
        <v>51.88</v>
      </c>
      <c r="F60" s="6">
        <v>0.1798768</v>
      </c>
      <c r="G60" s="6">
        <v>0.1438683</v>
      </c>
      <c r="H60" s="7">
        <f>0.5*0.0000001*(306.8*B60*B60+258.8*C60*C60)</f>
        <v>0.052730895646</v>
      </c>
      <c r="I60" s="7">
        <f t="shared" si="0"/>
        <v>0.034978739582</v>
      </c>
      <c r="J60" s="7">
        <f t="shared" si="1"/>
        <v>-0.0360085</v>
      </c>
      <c r="K60" s="7">
        <f t="shared" si="2"/>
        <v>-0.017752156064</v>
      </c>
      <c r="L60" s="7">
        <f t="shared" si="3"/>
        <v>-0.200184237211247</v>
      </c>
      <c r="M60" s="7">
        <f t="shared" si="4"/>
        <v>-0.336655690113366</v>
      </c>
      <c r="N60" s="7">
        <f t="shared" si="5"/>
        <v>0.831485587583148</v>
      </c>
    </row>
    <row r="61" ht="15.15" spans="1:14">
      <c r="A61" s="6">
        <v>5</v>
      </c>
      <c r="B61" s="6">
        <v>79.81</v>
      </c>
      <c r="C61" s="6">
        <v>0</v>
      </c>
      <c r="D61" s="6">
        <v>6.14</v>
      </c>
      <c r="E61" s="6">
        <v>74</v>
      </c>
      <c r="F61" s="6">
        <v>0.2448571</v>
      </c>
      <c r="G61" s="6">
        <v>0.2103495</v>
      </c>
      <c r="H61" s="7">
        <f>0.5*0.0000001*(306.8*B61*B61+258.8*C61*C61)</f>
        <v>0.097710217774</v>
      </c>
      <c r="I61" s="7">
        <f t="shared" si="0"/>
        <v>0.071437751864</v>
      </c>
      <c r="J61" s="7">
        <f t="shared" si="1"/>
        <v>-0.0345076</v>
      </c>
      <c r="K61" s="7">
        <f t="shared" si="2"/>
        <v>-0.02627246591</v>
      </c>
      <c r="L61" s="7">
        <f t="shared" si="3"/>
        <v>-0.140929546253713</v>
      </c>
      <c r="M61" s="7">
        <f t="shared" si="4"/>
        <v>-0.268881458956188</v>
      </c>
      <c r="N61" s="7">
        <f t="shared" si="5"/>
        <v>0.850269389800777</v>
      </c>
    </row>
    <row r="62" ht="15.15" spans="1:14">
      <c r="A62" s="8">
        <v>6</v>
      </c>
      <c r="B62" s="8">
        <v>88.73</v>
      </c>
      <c r="C62" s="8">
        <v>0</v>
      </c>
      <c r="D62" s="8">
        <v>6.48</v>
      </c>
      <c r="E62" s="8">
        <v>82.76</v>
      </c>
      <c r="F62" s="8">
        <v>0.2722236</v>
      </c>
      <c r="G62" s="8">
        <v>0.2340635</v>
      </c>
      <c r="H62" s="9">
        <f>0.5*0.0000001*(306.8*B62*B62+258.8*C62*C62)</f>
        <v>0.120772017886</v>
      </c>
      <c r="I62" s="9">
        <f t="shared" si="0"/>
        <v>0.08927300848</v>
      </c>
      <c r="J62" s="9">
        <f t="shared" si="1"/>
        <v>-0.0381601</v>
      </c>
      <c r="K62" s="9">
        <f t="shared" si="2"/>
        <v>-0.031499009406</v>
      </c>
      <c r="L62" s="9">
        <f t="shared" si="3"/>
        <v>-0.140179249705022</v>
      </c>
      <c r="M62" s="9">
        <f t="shared" si="4"/>
        <v>-0.260813804036402</v>
      </c>
      <c r="N62" s="9">
        <f t="shared" si="5"/>
        <v>0.8596866899583</v>
      </c>
    </row>
    <row r="63" ht="15.15" spans="1:14">
      <c r="A63" s="10" t="s">
        <v>8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6"/>
    </row>
    <row r="64" ht="15.15" spans="1:14">
      <c r="A64" s="6">
        <v>1</v>
      </c>
      <c r="B64" s="12">
        <v>0</v>
      </c>
      <c r="C64" s="12">
        <v>34.99</v>
      </c>
      <c r="D64" s="12">
        <v>14.2</v>
      </c>
      <c r="E64" s="12">
        <v>14.2</v>
      </c>
      <c r="F64" s="12">
        <v>0.0905541</v>
      </c>
      <c r="G64" s="12">
        <v>0.0803152</v>
      </c>
      <c r="H64" s="12">
        <f t="shared" ref="H64:H69" si="6">0.5*0.0000001*(306.8*B64*B64+258.8*C64*C64)</f>
        <v>0.015842443294</v>
      </c>
      <c r="I64" s="12">
        <f t="shared" si="0"/>
        <v>0.0057023792</v>
      </c>
      <c r="J64" s="12">
        <f t="shared" si="1"/>
        <v>-0.0102389</v>
      </c>
      <c r="K64" s="12">
        <f t="shared" si="2"/>
        <v>-0.010140064094</v>
      </c>
      <c r="L64" s="12">
        <f t="shared" si="3"/>
        <v>-0.113069424796889</v>
      </c>
      <c r="M64" s="12">
        <f t="shared" si="4"/>
        <v>-0.640056833773888</v>
      </c>
      <c r="N64" s="12">
        <f t="shared" si="5"/>
        <v>0</v>
      </c>
    </row>
    <row r="65" ht="15.15" spans="1:14">
      <c r="A65" s="6">
        <v>2</v>
      </c>
      <c r="B65" s="6">
        <v>0</v>
      </c>
      <c r="C65" s="6">
        <v>39.08</v>
      </c>
      <c r="D65" s="6">
        <v>17.55</v>
      </c>
      <c r="E65" s="6">
        <v>17.55</v>
      </c>
      <c r="F65" s="6">
        <v>0.0106566</v>
      </c>
      <c r="G65" s="6">
        <v>0.0992628</v>
      </c>
      <c r="H65" s="7">
        <f t="shared" si="6"/>
        <v>0.019762568416</v>
      </c>
      <c r="I65" s="7">
        <f t="shared" si="0"/>
        <v>0.0087103107</v>
      </c>
      <c r="J65" s="7">
        <f t="shared" si="1"/>
        <v>0.0886062</v>
      </c>
      <c r="K65" s="7">
        <f t="shared" si="2"/>
        <v>-0.011052257716</v>
      </c>
      <c r="L65" s="7">
        <f t="shared" si="3"/>
        <v>8.31467822757728</v>
      </c>
      <c r="M65" s="7">
        <f t="shared" si="4"/>
        <v>-0.559252091294569</v>
      </c>
      <c r="N65" s="7">
        <f t="shared" si="5"/>
        <v>0</v>
      </c>
    </row>
    <row r="66" ht="15.15" spans="1:14">
      <c r="A66" s="6">
        <v>3</v>
      </c>
      <c r="B66" s="6">
        <v>0</v>
      </c>
      <c r="C66" s="6">
        <v>63.3</v>
      </c>
      <c r="D66" s="6">
        <v>28.66</v>
      </c>
      <c r="E66" s="6">
        <v>28.66</v>
      </c>
      <c r="F66" s="6">
        <v>0.1638204</v>
      </c>
      <c r="G66" s="6">
        <v>0.162101</v>
      </c>
      <c r="H66" s="7">
        <f t="shared" si="6"/>
        <v>0.0518491566</v>
      </c>
      <c r="I66" s="7">
        <f t="shared" si="0"/>
        <v>0.023229067568</v>
      </c>
      <c r="J66" s="7">
        <f t="shared" si="1"/>
        <v>-0.00171940000000001</v>
      </c>
      <c r="K66" s="7">
        <f t="shared" si="2"/>
        <v>-0.028620089032</v>
      </c>
      <c r="L66" s="7">
        <f t="shared" si="3"/>
        <v>-0.0104956403476002</v>
      </c>
      <c r="M66" s="7">
        <f t="shared" si="4"/>
        <v>-0.551987552136962</v>
      </c>
      <c r="N66" s="7">
        <f t="shared" si="5"/>
        <v>0</v>
      </c>
    </row>
    <row r="67" ht="15.15" spans="1:14">
      <c r="A67" s="6">
        <v>4</v>
      </c>
      <c r="B67" s="6">
        <v>0</v>
      </c>
      <c r="C67" s="6">
        <v>67.37</v>
      </c>
      <c r="D67" s="6">
        <v>29.95</v>
      </c>
      <c r="E67" s="6">
        <v>29.95</v>
      </c>
      <c r="F67" s="6">
        <v>0.1743536</v>
      </c>
      <c r="G67" s="6">
        <v>0.1693972</v>
      </c>
      <c r="H67" s="7">
        <f t="shared" si="6"/>
        <v>0.058730996686</v>
      </c>
      <c r="I67" s="7">
        <f t="shared" si="0"/>
        <v>0.0253672307</v>
      </c>
      <c r="J67" s="7">
        <f t="shared" si="1"/>
        <v>-0.0049564</v>
      </c>
      <c r="K67" s="7">
        <f t="shared" si="2"/>
        <v>-0.033363765986</v>
      </c>
      <c r="L67" s="7">
        <f t="shared" si="3"/>
        <v>-0.0284272879940535</v>
      </c>
      <c r="M67" s="7">
        <f t="shared" si="4"/>
        <v>-0.568077639893911</v>
      </c>
      <c r="N67" s="7">
        <f t="shared" si="5"/>
        <v>0</v>
      </c>
    </row>
    <row r="68" ht="15.15" spans="1:14">
      <c r="A68" s="6">
        <v>5</v>
      </c>
      <c r="B68" s="6">
        <v>0</v>
      </c>
      <c r="C68" s="6">
        <v>68.65</v>
      </c>
      <c r="D68" s="6">
        <v>30.64</v>
      </c>
      <c r="E68" s="6">
        <v>30.64</v>
      </c>
      <c r="F68" s="6">
        <v>0.1776662</v>
      </c>
      <c r="G68" s="6">
        <v>0.1732998</v>
      </c>
      <c r="H68" s="7">
        <f t="shared" si="6"/>
        <v>0.06098392315</v>
      </c>
      <c r="I68" s="7">
        <f t="shared" si="0"/>
        <v>0.026549535488</v>
      </c>
      <c r="J68" s="7">
        <f t="shared" si="1"/>
        <v>-0.00436639999999999</v>
      </c>
      <c r="K68" s="7">
        <f t="shared" si="2"/>
        <v>-0.034434387662</v>
      </c>
      <c r="L68" s="7">
        <f t="shared" si="3"/>
        <v>-0.0245764247786016</v>
      </c>
      <c r="M68" s="7">
        <f t="shared" si="4"/>
        <v>-0.564646973880361</v>
      </c>
      <c r="N68" s="7">
        <f t="shared" si="5"/>
        <v>0</v>
      </c>
    </row>
    <row r="69" ht="15.15" spans="1:14">
      <c r="A69" s="6">
        <v>6</v>
      </c>
      <c r="B69" s="6">
        <v>0</v>
      </c>
      <c r="C69" s="6">
        <v>75.99</v>
      </c>
      <c r="D69" s="6">
        <v>34.35</v>
      </c>
      <c r="E69" s="6">
        <v>34.35</v>
      </c>
      <c r="F69" s="6">
        <v>0.1966621</v>
      </c>
      <c r="G69" s="6">
        <v>0.1942836</v>
      </c>
      <c r="H69" s="7">
        <f t="shared" si="6"/>
        <v>0.074721772494</v>
      </c>
      <c r="I69" s="7">
        <f t="shared" si="0"/>
        <v>0.0333682083</v>
      </c>
      <c r="J69" s="7">
        <f t="shared" si="1"/>
        <v>-0.00237850000000001</v>
      </c>
      <c r="K69" s="7">
        <f t="shared" si="2"/>
        <v>-0.041353564194</v>
      </c>
      <c r="L69" s="7">
        <f t="shared" si="3"/>
        <v>-0.0120943486314852</v>
      </c>
      <c r="M69" s="7">
        <f t="shared" si="4"/>
        <v>-0.553433929813705</v>
      </c>
      <c r="N69" s="7">
        <f t="shared" si="5"/>
        <v>0</v>
      </c>
    </row>
  </sheetData>
  <mergeCells count="8">
    <mergeCell ref="A32:G32"/>
    <mergeCell ref="H32:N32"/>
    <mergeCell ref="A33:N33"/>
    <mergeCell ref="A41:N41"/>
    <mergeCell ref="A53:N53"/>
    <mergeCell ref="A54:N54"/>
    <mergeCell ref="A56:N56"/>
    <mergeCell ref="A63:N6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21138</dc:creator>
  <cp:lastModifiedBy>Fuyeor Kio</cp:lastModifiedBy>
  <dcterms:created xsi:type="dcterms:W3CDTF">2025-10-20T04:57:06Z</dcterms:created>
  <dcterms:modified xsi:type="dcterms:W3CDTF">2025-10-20T08:00:42Z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65EB883FF6924064BECCF55D9C92615C_11</vt:lpwstr>
  </property>
  <property fmtid="{D5CDD505-2E9C-101B-9397-08002B2CF9AE}" pid="3" name="KSOProductBuildVer">
    <vt:lpwstr>2052-12.1.0.23125</vt:lpwstr>
  </property>
</Properties>
</file>